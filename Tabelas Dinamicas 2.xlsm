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abia\Documents\GIT HUB\"/>
    </mc:Choice>
  </mc:AlternateContent>
  <xr:revisionPtr revIDLastSave="0" documentId="8_{6A9AD2C8-A85A-47C1-91B3-3D2A38FA8C07}" xr6:coauthVersionLast="38" xr6:coauthVersionMax="38" xr10:uidLastSave="{00000000-0000-0000-0000-000000000000}"/>
  <bookViews>
    <workbookView xWindow="0" yWindow="0" windowWidth="20490" windowHeight="7695" activeTab="1" xr2:uid="{9A91499D-5423-421D-8B46-CE7DA9750DD5}"/>
  </bookViews>
  <sheets>
    <sheet name="Exemplo 1" sheetId="1" r:id="rId1"/>
    <sheet name="Exemplo 2" sheetId="2" r:id="rId2"/>
  </sheets>
  <calcPr calcId="162913"/>
  <pivotCaches>
    <pivotCache cacheId="39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2" l="1" a="1"/>
  <c r="I7" i="2" s="1"/>
</calcChain>
</file>

<file path=xl/sharedStrings.xml><?xml version="1.0" encoding="utf-8"?>
<sst xmlns="http://schemas.openxmlformats.org/spreadsheetml/2006/main" count="168" uniqueCount="38">
  <si>
    <t>Mês</t>
  </si>
  <si>
    <t>Filial</t>
  </si>
  <si>
    <t>Faturamento</t>
  </si>
  <si>
    <t>Janeiro</t>
  </si>
  <si>
    <t>Filial 1</t>
  </si>
  <si>
    <t>Filial 2</t>
  </si>
  <si>
    <t>Filial 3</t>
  </si>
  <si>
    <t>Filial 4</t>
  </si>
  <si>
    <t>Filial 5</t>
  </si>
  <si>
    <t>Filial 6</t>
  </si>
  <si>
    <t>Filial 7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</si>
  <si>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</si>
  <si>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</si>
  <si>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</si>
  <si>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</si>
  <si>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</si>
  <si>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</si>
  <si>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</si>
  <si>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</si>
  <si>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Unidade/Setor/Gerência</t>
  </si>
  <si>
    <t>GIOP</t>
  </si>
  <si>
    <t>Área:</t>
  </si>
  <si>
    <t>PIOP</t>
  </si>
  <si>
    <t>Mês:</t>
  </si>
  <si>
    <t>SIOP</t>
  </si>
  <si>
    <t>IPT</t>
  </si>
  <si>
    <t>Valor</t>
  </si>
  <si>
    <t>CIOP</t>
  </si>
  <si>
    <t>COI</t>
  </si>
  <si>
    <t>UTGC</t>
  </si>
  <si>
    <t>UTGSUL</t>
  </si>
  <si>
    <t>Rótulos de Linha</t>
  </si>
  <si>
    <t/>
  </si>
  <si>
    <t>Região 1</t>
  </si>
  <si>
    <t>Região 2</t>
  </si>
  <si>
    <t>Região 3</t>
  </si>
  <si>
    <t>Total Mensal</t>
  </si>
  <si>
    <t>Faturamento_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</si>
</sst>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5" formatCode="&quot;R$&quot;\ #,##0.00"/>
    <numFmt numFmtId="166" formatCode="yyyy\-mm\-dd;@"/>
    <numFmt numFmtId="167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/>
      <right style="hair">
        <color theme="0" tint="-0.34998626667073579"/>
      </right>
      <top style="medium">
        <color rgb="FFFF0000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FF0000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medium">
        <color rgb="FFFF0000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/>
    </xf>
    <xf numFmtId="0" fontId="0" fillId="0" borderId="2" xfId="0" applyBorder="1"/>
    <xf numFmtId="43" fontId="0" fillId="0" borderId="3" xfId="1" applyFont="1" applyBorder="1"/>
    <xf numFmtId="0" fontId="0" fillId="0" borderId="5" xfId="0" applyBorder="1"/>
    <xf numFmtId="43" fontId="0" fillId="0" borderId="6" xfId="1" applyFont="1" applyBorder="1"/>
    <xf numFmtId="0" fontId="0" fillId="0" borderId="8" xfId="0" applyBorder="1"/>
    <xf numFmtId="43" fontId="0" fillId="0" borderId="9" xfId="1" applyFont="1" applyBorder="1"/>
    <xf numFmtId="0" fontId="3" fillId="0" borderId="10" xfId="0" applyFont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165" fontId="4" fillId="0" borderId="2" xfId="1" applyNumberFormat="1" applyFont="1" applyBorder="1" applyAlignment="1">
      <alignment horizontal="center" vertical="center"/>
    </xf>
    <xf numFmtId="165" fontId="4" fillId="0" borderId="3" xfId="1" applyNumberFormat="1" applyFont="1" applyBorder="1" applyAlignment="1">
      <alignment horizontal="center" vertical="center"/>
    </xf>
    <xf numFmtId="0" fontId="2" fillId="2" borderId="11" xfId="0" applyFont="1" applyFill="1" applyBorder="1"/>
    <xf numFmtId="0" fontId="0" fillId="2" borderId="12" xfId="0" applyFill="1" applyBorder="1" applyAlignment="1">
      <alignment horizontal="center"/>
    </xf>
    <xf numFmtId="165" fontId="4" fillId="0" borderId="14" xfId="1" applyNumberFormat="1" applyFont="1" applyBorder="1" applyAlignment="1">
      <alignment horizontal="center" vertical="center"/>
    </xf>
    <xf numFmtId="165" fontId="4" fillId="0" borderId="15" xfId="1" applyNumberFormat="1" applyFont="1" applyBorder="1" applyAlignment="1">
      <alignment horizontal="center" vertical="center"/>
    </xf>
    <xf numFmtId="0" fontId="2" fillId="3" borderId="16" xfId="0" applyFont="1" applyFill="1" applyBorder="1"/>
    <xf numFmtId="0" fontId="0" fillId="3" borderId="17" xfId="0" applyFill="1" applyBorder="1" applyAlignment="1">
      <alignment horizontal="center"/>
    </xf>
    <xf numFmtId="0" fontId="2" fillId="0" borderId="0" xfId="0" applyFont="1"/>
    <xf numFmtId="0" fontId="2" fillId="4" borderId="18" xfId="0" applyFont="1" applyFill="1" applyBorder="1"/>
    <xf numFmtId="165" fontId="2" fillId="4" borderId="19" xfId="1" applyNumberFormat="1" applyFont="1" applyFill="1" applyBorder="1"/>
    <xf numFmtId="165" fontId="4" fillId="0" borderId="5" xfId="1" applyNumberFormat="1" applyFont="1" applyBorder="1" applyAlignment="1">
      <alignment horizontal="center" vertical="center"/>
    </xf>
    <xf numFmtId="165" fontId="4" fillId="0" borderId="6" xfId="1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6" fillId="0" borderId="7" xfId="0" applyFont="1" applyBorder="1" applyAlignment="1">
      <alignment horizontal="left" vertical="center"/>
    </xf>
    <xf numFmtId="165" fontId="4" fillId="0" borderId="8" xfId="1" applyNumberFormat="1" applyFont="1" applyBorder="1" applyAlignment="1">
      <alignment horizontal="center" vertical="center"/>
    </xf>
    <xf numFmtId="165" fontId="4" fillId="0" borderId="9" xfId="1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1" xfId="0" applyNumberFormat="1" applyBorder="1"/>
    <xf numFmtId="166" fontId="0" fillId="0" borderId="4" xfId="0" applyNumberFormat="1" applyBorder="1"/>
    <xf numFmtId="166" fontId="0" fillId="0" borderId="7" xfId="0" applyNumberFormat="1" applyBorder="1"/>
    <xf numFmtId="167" fontId="0" fillId="0" borderId="0" xfId="0" applyNumberFormat="1"/>
    <xf numFmtId="0" fontId="2" fillId="0" borderId="0" xfId="0" applyFont="1" applyAlignment="1">
      <alignment horizontal="left"/>
    </xf>
    <xf numFmtId="167" fontId="2" fillId="0" borderId="0" xfId="0" applyNumberFormat="1" applyFont="1"/>
    <xf numFmtId="0" fontId="7" fillId="0" borderId="0" xfId="0" applyFont="1" applyAlignment="1">
      <alignment horizontal="left"/>
    </xf>
    <xf numFmtId="167" fontId="7" fillId="0" borderId="0" xfId="0" applyNumberFormat="1" applyFont="1"/>
    <xf numFmtId="0" fontId="2" fillId="0" borderId="20" xfId="0" applyFont="1" applyBorder="1" applyAlignment="1">
      <alignment horizontal="left"/>
    </xf>
    <xf numFmtId="167" fontId="2" fillId="0" borderId="20" xfId="0" applyNumberFormat="1" applyFont="1" applyBorder="1"/>
  </cellXfs>
  <cellStyles count="2">
    <cellStyle name="Normal" xfId="0" builtinId="0"/>
    <cellStyle name="Vírgula" xfId="1" builtinId="3"/>
  </cellStyles>
  <dxfs count="35">
    <dxf>
      <font>
        <b/>
      </font>
    </dxf>
    <dxf>
      <font>
        <b/>
      </font>
    </dxf>
    <dxf>
      <font>
        <b/>
      </font>
    </dxf>
    <dxf>
      <font>
        <u/>
      </font>
    </dxf>
    <dxf>
      <font>
        <b/>
      </font>
    </dxf>
    <dxf>
      <border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u/>
      </font>
    </dxf>
    <dxf>
      <font>
        <b/>
      </font>
    </dxf>
    <dxf>
      <border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u/>
      </font>
    </dxf>
    <dxf>
      <font>
        <b/>
      </font>
    </dxf>
    <dxf>
      <border>
        <bottom style="thin">
          <color indexed="64"/>
        </bottom>
      </border>
    </dxf>
    <dxf>
      <numFmt numFmtId="166" formatCode="yyyy\-mm\-dd;@"/>
      <border diagonalUp="0" diagonalDown="0" outline="0">
        <left/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</dxf>
    <dxf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</dxf>
    <dxf>
      <font>
        <b/>
        <i val="0"/>
      </font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b/>
        <i val="0"/>
      </font>
      <fill>
        <patternFill>
          <bgColor rgb="FFFFFF00"/>
        </patternFill>
      </fill>
    </dxf>
    <dxf>
      <font>
        <b/>
        <i/>
        <color theme="4"/>
      </font>
      <fill>
        <patternFill>
          <bgColor theme="9" tint="0.59996337778862885"/>
        </patternFill>
      </fill>
    </dxf>
    <dxf>
      <font>
        <b/>
        <i val="0"/>
        <color theme="4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  <border diagonalUp="0" diagonalDown="0">
        <left style="hair">
          <color theme="0" tint="-0.34998626667073579"/>
        </left>
        <right/>
        <top/>
        <bottom style="hair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  <border diagonalUp="0" diagonalDown="0">
        <left style="hair">
          <color theme="0" tint="-0.34998626667073579"/>
        </left>
        <right/>
        <top/>
        <bottom style="hair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  <border diagonalUp="0" diagonalDown="0">
        <left style="hair">
          <color theme="0" tint="-0.34998626667073579"/>
        </left>
        <right style="hair">
          <color theme="0" tint="-0.34998626667073579"/>
        </right>
        <top/>
        <bottom style="hair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  <border diagonalUp="0" diagonalDown="0">
        <left style="hair">
          <color theme="0" tint="-0.34998626667073579"/>
        </left>
        <right style="hair">
          <color theme="0" tint="-0.34998626667073579"/>
        </right>
        <top/>
        <bottom style="hair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/>
        <right style="hair">
          <color theme="0" tint="-0.34998626667073579"/>
        </right>
        <top/>
        <bottom style="hair">
          <color theme="0" tint="-0.34998626667073579"/>
        </bottom>
        <vertical/>
        <horizontal/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hair">
          <color theme="0" tint="-0.34998626667073579"/>
        </left>
        <right/>
        <top style="hair">
          <color theme="0" tint="-0.34998626667073579"/>
        </top>
        <bottom style="hair">
          <color theme="0" tint="-0.34998626667073579"/>
        </bottom>
        <vertical/>
        <horizontal/>
      </border>
    </dxf>
    <dxf>
      <border outline="0">
        <bottom style="medium">
          <color theme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0</xdr:rowOff>
    </xdr:from>
    <xdr:to>
      <xdr:col>6</xdr:col>
      <xdr:colOff>571500</xdr:colOff>
      <xdr:row>5</xdr:row>
      <xdr:rowOff>28575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D6385A5-D462-4E9D-93A1-33B18442BA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200025"/>
          <a:ext cx="2800350" cy="790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bia" refreshedDate="43413.003549305555" createdVersion="6" refreshedVersion="6" minRefreshableVersion="3" recordCount="63" xr:uid="{896DEB5B-0D24-4F8F-AF22-0B97DB24C39E}">
  <cacheSource type="worksheet">
    <worksheetSource name="Tabela1"/>
  </cacheSource>
  <cacheFields count="4">
    <cacheField name="Mês" numFmtId="166">
      <sharedItems count="9">
        <s v="Janeiro"/>
        <s v="Fevereiro"/>
        <s v="Março"/>
        <s v="Abril"/>
        <s v="Maio"/>
        <s v="Junho"/>
        <s v="Julho"/>
        <s v="Agosto"/>
        <s v="Setembro"/>
      </sharedItems>
    </cacheField>
    <cacheField name="Filial" numFmtId="0">
      <sharedItems count="11">
        <s v="Filial 1"/>
        <s v="Filial 2"/>
        <s v="Filial 3"/>
        <s v="Filial 4"/>
        <s v="Filial 5"/>
        <s v="Filial 6"/>
        <s v="Filial 7"/>
        <s v="Região 1" f="1"/>
        <s v="Região 2" f="1"/>
        <s v="Região 3" f="1"/>
        <s v="Total Mensal" f="1"/>
      </sharedItems>
    </cacheField>
    <cacheField name="Faturamento" numFmtId="43">
      <sharedItems containsSemiMixedTypes="0" containsString="0" containsNumber="1" containsInteger="1" minValue="101405" maxValue="291194"/>
    </cacheField>
    <cacheField name="Total Regional" numFmtId="0" formula="Faturamento" databaseField="0"/>
  </cacheFields>
  <calculatedItems count="4">
    <calculatedItem formula="Filial['Filial 1'] +Filial['Filial 2']">
      <pivotArea cacheIndex="1" outline="0" fieldPosition="0">
        <references count="1">
          <reference field="1" count="1">
            <x v="7"/>
          </reference>
        </references>
      </pivotArea>
    </calculatedItem>
    <calculatedItem formula="Filial['Filial 3'] +Filial['Filial 4']">
      <pivotArea cacheIndex="1" outline="0" fieldPosition="0">
        <references count="1">
          <reference field="1" count="1">
            <x v="8"/>
          </reference>
        </references>
      </pivotArea>
    </calculatedItem>
    <calculatedItem formula="Filial['Filial 5']+Filial['Filial 6'] +Filial['Filial 7']">
      <pivotArea cacheIndex="1" outline="0" fieldPosition="0">
        <references count="1">
          <reference field="1" count="1">
            <x v="9"/>
          </reference>
        </references>
      </pivotArea>
    </calculatedItem>
    <calculatedItem formula="Filial['Região 1'] +Filial['Região 2'] +Filial['Região 3']">
      <pivotArea cacheIndex="1" outline="0" fieldPosition="0">
        <references count="1">
          <reference field="1" count="1">
            <x v="10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">
  <r>
    <x v="0"/>
    <x v="0"/>
    <n v="120108"/>
  </r>
  <r>
    <x v="0"/>
    <x v="1"/>
    <n v="272854"/>
  </r>
  <r>
    <x v="0"/>
    <x v="2"/>
    <n v="228731"/>
  </r>
  <r>
    <x v="0"/>
    <x v="3"/>
    <n v="248795"/>
  </r>
  <r>
    <x v="0"/>
    <x v="4"/>
    <n v="210333"/>
  </r>
  <r>
    <x v="0"/>
    <x v="5"/>
    <n v="159664"/>
  </r>
  <r>
    <x v="0"/>
    <x v="6"/>
    <n v="155217"/>
  </r>
  <r>
    <x v="1"/>
    <x v="0"/>
    <n v="158162"/>
  </r>
  <r>
    <x v="1"/>
    <x v="1"/>
    <n v="179411"/>
  </r>
  <r>
    <x v="1"/>
    <x v="2"/>
    <n v="161077"/>
  </r>
  <r>
    <x v="1"/>
    <x v="3"/>
    <n v="196611"/>
  </r>
  <r>
    <x v="1"/>
    <x v="4"/>
    <n v="101455"/>
  </r>
  <r>
    <x v="1"/>
    <x v="5"/>
    <n v="111988"/>
  </r>
  <r>
    <x v="1"/>
    <x v="6"/>
    <n v="236659"/>
  </r>
  <r>
    <x v="2"/>
    <x v="0"/>
    <n v="235916"/>
  </r>
  <r>
    <x v="2"/>
    <x v="1"/>
    <n v="197093"/>
  </r>
  <r>
    <x v="2"/>
    <x v="2"/>
    <n v="259509"/>
  </r>
  <r>
    <x v="2"/>
    <x v="3"/>
    <n v="121197"/>
  </r>
  <r>
    <x v="2"/>
    <x v="4"/>
    <n v="286555"/>
  </r>
  <r>
    <x v="2"/>
    <x v="5"/>
    <n v="213840"/>
  </r>
  <r>
    <x v="2"/>
    <x v="6"/>
    <n v="191565"/>
  </r>
  <r>
    <x v="3"/>
    <x v="0"/>
    <n v="119561"/>
  </r>
  <r>
    <x v="3"/>
    <x v="1"/>
    <n v="271775"/>
  </r>
  <r>
    <x v="3"/>
    <x v="2"/>
    <n v="230148"/>
  </r>
  <r>
    <x v="3"/>
    <x v="3"/>
    <n v="252444"/>
  </r>
  <r>
    <x v="3"/>
    <x v="4"/>
    <n v="261802"/>
  </r>
  <r>
    <x v="3"/>
    <x v="5"/>
    <n v="144987"/>
  </r>
  <r>
    <x v="3"/>
    <x v="6"/>
    <n v="291194"/>
  </r>
  <r>
    <x v="4"/>
    <x v="0"/>
    <n v="192418"/>
  </r>
  <r>
    <x v="4"/>
    <x v="1"/>
    <n v="269127"/>
  </r>
  <r>
    <x v="4"/>
    <x v="2"/>
    <n v="215086"/>
  </r>
  <r>
    <x v="4"/>
    <x v="3"/>
    <n v="262616"/>
  </r>
  <r>
    <x v="4"/>
    <x v="4"/>
    <n v="132959"/>
  </r>
  <r>
    <x v="4"/>
    <x v="5"/>
    <n v="102139"/>
  </r>
  <r>
    <x v="4"/>
    <x v="6"/>
    <n v="243803"/>
  </r>
  <r>
    <x v="5"/>
    <x v="0"/>
    <n v="258760"/>
  </r>
  <r>
    <x v="5"/>
    <x v="1"/>
    <n v="231101"/>
  </r>
  <r>
    <x v="5"/>
    <x v="2"/>
    <n v="131619"/>
  </r>
  <r>
    <x v="5"/>
    <x v="3"/>
    <n v="210973"/>
  </r>
  <r>
    <x v="5"/>
    <x v="4"/>
    <n v="258676"/>
  </r>
  <r>
    <x v="5"/>
    <x v="5"/>
    <n v="122294"/>
  </r>
  <r>
    <x v="5"/>
    <x v="6"/>
    <n v="101405"/>
  </r>
  <r>
    <x v="6"/>
    <x v="0"/>
    <n v="211158"/>
  </r>
  <r>
    <x v="6"/>
    <x v="1"/>
    <n v="102780"/>
  </r>
  <r>
    <x v="6"/>
    <x v="2"/>
    <n v="188437"/>
  </r>
  <r>
    <x v="6"/>
    <x v="3"/>
    <n v="272245"/>
  </r>
  <r>
    <x v="6"/>
    <x v="4"/>
    <n v="152197"/>
  </r>
  <r>
    <x v="6"/>
    <x v="5"/>
    <n v="251885"/>
  </r>
  <r>
    <x v="6"/>
    <x v="6"/>
    <n v="180434"/>
  </r>
  <r>
    <x v="7"/>
    <x v="0"/>
    <n v="264723"/>
  </r>
  <r>
    <x v="7"/>
    <x v="1"/>
    <n v="101406"/>
  </r>
  <r>
    <x v="7"/>
    <x v="2"/>
    <n v="277410"/>
  </r>
  <r>
    <x v="7"/>
    <x v="3"/>
    <n v="189409"/>
  </r>
  <r>
    <x v="7"/>
    <x v="4"/>
    <n v="288554"/>
  </r>
  <r>
    <x v="7"/>
    <x v="5"/>
    <n v="131570"/>
  </r>
  <r>
    <x v="7"/>
    <x v="6"/>
    <n v="242377"/>
  </r>
  <r>
    <x v="8"/>
    <x v="0"/>
    <n v="210645"/>
  </r>
  <r>
    <x v="8"/>
    <x v="1"/>
    <n v="162270"/>
  </r>
  <r>
    <x v="8"/>
    <x v="2"/>
    <n v="271630"/>
  </r>
  <r>
    <x v="8"/>
    <x v="3"/>
    <n v="138764"/>
  </r>
  <r>
    <x v="8"/>
    <x v="4"/>
    <n v="266559"/>
  </r>
  <r>
    <x v="8"/>
    <x v="5"/>
    <n v="185452"/>
  </r>
  <r>
    <x v="8"/>
    <x v="6"/>
    <n v="2406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A6874D-3068-47B4-9BCE-7434C081547B}" name="Tabela dinâmica5" cacheId="39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olHeaderCaption="">
  <location ref="E7:N19" firstHeaderRow="1" firstDataRow="2" firstDataCol="1"/>
  <pivotFields count="4">
    <pivotField axis="axisCol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Row" showAll="0">
      <items count="12">
        <item x="0"/>
        <item x="1"/>
        <item f="1" x="7"/>
        <item x="2"/>
        <item x="3"/>
        <item f="1" x="8"/>
        <item x="4"/>
        <item x="5"/>
        <item x="6"/>
        <item f="1" x="9"/>
        <item f="1" x="10"/>
        <item t="default"/>
      </items>
    </pivotField>
    <pivotField dataField="1" numFmtId="43" showAll="0"/>
    <pivotField dragToRow="0" dragToCol="0" dragToPage="0" showAll="0" defaultSubtota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dataFields count="1">
    <dataField name="Faturamento_" fld="2" baseField="1" baseItem="0" numFmtId="167"/>
  </dataFields>
  <formats count="6">
    <format dxfId="0">
      <pivotArea dataOnly="0" fieldPosition="0">
        <references count="1">
          <reference field="1" count="1">
            <x v="2"/>
          </reference>
        </references>
      </pivotArea>
    </format>
    <format dxfId="1">
      <pivotArea dataOnly="0" fieldPosition="0">
        <references count="1">
          <reference field="1" count="1">
            <x v="5"/>
          </reference>
        </references>
      </pivotArea>
    </format>
    <format dxfId="2">
      <pivotArea dataOnly="0" fieldPosition="0">
        <references count="1">
          <reference field="1" count="1">
            <x v="9"/>
          </reference>
        </references>
      </pivotArea>
    </format>
    <format dxfId="3">
      <pivotArea dataOnly="0" fieldPosition="0">
        <references count="1">
          <reference field="1" count="1">
            <x v="10"/>
          </reference>
        </references>
      </pivotArea>
    </format>
    <format dxfId="4">
      <pivotArea dataOnly="0" fieldPosition="0">
        <references count="1">
          <reference field="1" count="1">
            <x v="10"/>
          </reference>
        </references>
      </pivotArea>
    </format>
    <format dxfId="5">
      <pivotArea dataOnly="0" fieldPosition="0">
        <references count="1">
          <reference field="1" count="1">
            <x v="9"/>
          </reference>
        </references>
      </pivotArea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C4668C-6856-4435-8CDF-D28AEAB6178F}" name="Tabela1" displayName="Tabela1" ref="A1:C64" totalsRowShown="0" headerRowDxfId="32" tableBorderDxfId="34">
  <autoFilter ref="A1:C64" xr:uid="{A180337F-EC21-4F1C-9514-E3A7D3ACC66B}"/>
  <tableColumns count="3">
    <tableColumn id="1" xr3:uid="{8286542F-E3F5-41A9-B2BF-7228B338A022}" name="Mês" dataDxfId="18"/>
    <tableColumn id="2" xr3:uid="{60AD67F8-21A7-4DD2-837D-261F5071AA3F}" name="Filial" dataDxfId="19"/>
    <tableColumn id="3" xr3:uid="{015A341F-A370-4955-9C86-A982FBC42A56}" name="Faturamento" dataDxfId="33" dataCellStyle="Vírgul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1C92AD-7525-4DED-9F68-1615714E8A74}" name="Tabela2" displayName="Tabela2" ref="B3:F11" totalsRowShown="0" headerRowDxfId="25" tableBorderDxfId="31">
  <autoFilter ref="B3:F11" xr:uid="{1CD2AE7B-4C31-4BB1-A6D7-7240CA4BCFBA}"/>
  <tableColumns count="5">
    <tableColumn id="1" xr3:uid="{C3D634C2-E97F-4F14-AD14-7BC533F3963B}" name="Unidade/Setor/Gerência" dataDxfId="30"/>
    <tableColumn id="2" xr3:uid="{A3A8BB1A-9305-4A34-9AD7-A7EB683D8C7F}" name="Janeiro" dataDxfId="29" dataCellStyle="Vírgula"/>
    <tableColumn id="3" xr3:uid="{1D4C2709-4C4F-4830-BED3-E7690E62C740}" name="Fevereiro" dataDxfId="28" dataCellStyle="Vírgula"/>
    <tableColumn id="4" xr3:uid="{D93194C2-6C39-441C-A4A5-AF738DD264C9}" name="Março" dataDxfId="27" dataCellStyle="Vírgula"/>
    <tableColumn id="5" xr3:uid="{00E12641-DE72-43F4-B834-E3F47ADE596C}" name="Abril" dataDxfId="26" dataCellStyle="Vírgula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A13C2-A414-4870-B788-FC85F2C0FAC8}">
  <dimension ref="A1:N64"/>
  <sheetViews>
    <sheetView workbookViewId="0">
      <selection activeCell="I3" sqref="I3"/>
    </sheetView>
  </sheetViews>
  <sheetFormatPr defaultRowHeight="15" x14ac:dyDescent="0.25"/>
  <cols>
    <col min="3" max="3" width="14.5703125" customWidth="1"/>
    <col min="5" max="5" width="20.7109375" bestFit="1" customWidth="1"/>
    <col min="6" max="14" width="12.7109375" bestFit="1" customWidth="1"/>
    <col min="15" max="15" width="22" bestFit="1" customWidth="1"/>
    <col min="16" max="16" width="20.7109375" bestFit="1" customWidth="1"/>
    <col min="17" max="17" width="22" bestFit="1" customWidth="1"/>
    <col min="18" max="18" width="20.7109375" bestFit="1" customWidth="1"/>
    <col min="19" max="19" width="22" bestFit="1" customWidth="1"/>
    <col min="20" max="20" width="20.7109375" bestFit="1" customWidth="1"/>
    <col min="21" max="21" width="22" bestFit="1" customWidth="1"/>
    <col min="22" max="22" width="20.7109375" bestFit="1" customWidth="1"/>
    <col min="23" max="23" width="22" bestFit="1" customWidth="1"/>
  </cols>
  <sheetData>
    <row r="1" spans="1:14" ht="15.75" thickBot="1" x14ac:dyDescent="0.3">
      <c r="A1" s="1" t="s">
        <v>0</v>
      </c>
      <c r="B1" s="1" t="s">
        <v>1</v>
      </c>
      <c r="C1" s="1" t="s">
        <v>2</v>
      </c>
    </row>
    <row r="2" spans="1:14" x14ac:dyDescent="0.25">
      <c r="A2" s="33" t="s">
        <v>3</v>
      </c>
      <c r="B2" s="2" t="s">
        <v>4</v>
      </c>
      <c r="C2" s="3">
        <v>120108</v>
      </c>
    </row>
    <row r="3" spans="1:14" x14ac:dyDescent="0.25">
      <c r="A3" s="34" t="s">
        <v>3</v>
      </c>
      <c r="B3" s="4" t="s">
        <v>5</v>
      </c>
      <c r="C3" s="5">
        <v>272854</v>
      </c>
    </row>
    <row r="4" spans="1:14" x14ac:dyDescent="0.25">
      <c r="A4" s="34" t="s">
        <v>3</v>
      </c>
      <c r="B4" s="4" t="s">
        <v>6</v>
      </c>
      <c r="C4" s="5">
        <v>228731</v>
      </c>
    </row>
    <row r="5" spans="1:14" x14ac:dyDescent="0.25">
      <c r="A5" s="34" t="s">
        <v>3</v>
      </c>
      <c r="B5" s="4" t="s">
        <v>7</v>
      </c>
      <c r="C5" s="5">
        <v>248795</v>
      </c>
    </row>
    <row r="6" spans="1:14" x14ac:dyDescent="0.25">
      <c r="A6" s="34" t="s">
        <v>3</v>
      </c>
      <c r="B6" s="4" t="s">
        <v>8</v>
      </c>
      <c r="C6" s="5">
        <v>210333</v>
      </c>
    </row>
    <row r="7" spans="1:14" x14ac:dyDescent="0.25">
      <c r="A7" s="34" t="s">
        <v>3</v>
      </c>
      <c r="B7" s="4" t="s">
        <v>9</v>
      </c>
      <c r="C7" s="5">
        <v>159664</v>
      </c>
      <c r="E7" s="31" t="s">
        <v>37</v>
      </c>
      <c r="F7" s="31" t="s">
        <v>32</v>
      </c>
    </row>
    <row r="8" spans="1:14" x14ac:dyDescent="0.25">
      <c r="A8" s="34" t="s">
        <v>3</v>
      </c>
      <c r="B8" s="4" t="s">
        <v>10</v>
      </c>
      <c r="C8" s="5">
        <v>155217</v>
      </c>
      <c r="E8" s="31" t="s">
        <v>31</v>
      </c>
      <c r="F8" t="s">
        <v>3</v>
      </c>
      <c r="G8" t="s">
        <v>11</v>
      </c>
      <c r="H8" t="s">
        <v>12</v>
      </c>
      <c r="I8" t="s">
        <v>13</v>
      </c>
      <c r="J8" t="s">
        <v>14</v>
      </c>
      <c r="K8" t="s">
        <v>15</v>
      </c>
      <c r="L8" t="s">
        <v>16</v>
      </c>
      <c r="M8" t="s">
        <v>17</v>
      </c>
      <c r="N8" t="s">
        <v>18</v>
      </c>
    </row>
    <row r="9" spans="1:14" x14ac:dyDescent="0.25">
      <c r="A9" s="34" t="s">
        <v>11</v>
      </c>
      <c r="B9" s="4" t="s">
        <v>4</v>
      </c>
      <c r="C9" s="5">
        <v>158162</v>
      </c>
      <c r="E9" s="32" t="s">
        <v>4</v>
      </c>
      <c r="F9" s="36">
        <v>120108</v>
      </c>
      <c r="G9" s="36">
        <v>158162</v>
      </c>
      <c r="H9" s="36">
        <v>235916</v>
      </c>
      <c r="I9" s="36">
        <v>119561</v>
      </c>
      <c r="J9" s="36">
        <v>192418</v>
      </c>
      <c r="K9" s="36">
        <v>258760</v>
      </c>
      <c r="L9" s="36">
        <v>211158</v>
      </c>
      <c r="M9" s="36">
        <v>264723</v>
      </c>
      <c r="N9" s="36">
        <v>210645</v>
      </c>
    </row>
    <row r="10" spans="1:14" x14ac:dyDescent="0.25">
      <c r="A10" s="34" t="s">
        <v>11</v>
      </c>
      <c r="B10" s="4" t="s">
        <v>5</v>
      </c>
      <c r="C10" s="5">
        <v>179411</v>
      </c>
      <c r="E10" s="32" t="s">
        <v>5</v>
      </c>
      <c r="F10" s="36">
        <v>272854</v>
      </c>
      <c r="G10" s="36">
        <v>179411</v>
      </c>
      <c r="H10" s="36">
        <v>197093</v>
      </c>
      <c r="I10" s="36">
        <v>271775</v>
      </c>
      <c r="J10" s="36">
        <v>269127</v>
      </c>
      <c r="K10" s="36">
        <v>231101</v>
      </c>
      <c r="L10" s="36">
        <v>102780</v>
      </c>
      <c r="M10" s="36">
        <v>101406</v>
      </c>
      <c r="N10" s="36">
        <v>162270</v>
      </c>
    </row>
    <row r="11" spans="1:14" x14ac:dyDescent="0.25">
      <c r="A11" s="34" t="s">
        <v>11</v>
      </c>
      <c r="B11" s="4" t="s">
        <v>6</v>
      </c>
      <c r="C11" s="5">
        <v>161077</v>
      </c>
      <c r="E11" s="37" t="s">
        <v>33</v>
      </c>
      <c r="F11" s="38">
        <v>392962</v>
      </c>
      <c r="G11" s="38">
        <v>337573</v>
      </c>
      <c r="H11" s="38">
        <v>433009</v>
      </c>
      <c r="I11" s="38">
        <v>391336</v>
      </c>
      <c r="J11" s="38">
        <v>461545</v>
      </c>
      <c r="K11" s="38">
        <v>489861</v>
      </c>
      <c r="L11" s="38">
        <v>313938</v>
      </c>
      <c r="M11" s="38">
        <v>366129</v>
      </c>
      <c r="N11" s="38">
        <v>372915</v>
      </c>
    </row>
    <row r="12" spans="1:14" x14ac:dyDescent="0.25">
      <c r="A12" s="34" t="s">
        <v>11</v>
      </c>
      <c r="B12" s="4" t="s">
        <v>7</v>
      </c>
      <c r="C12" s="5">
        <v>196611</v>
      </c>
      <c r="E12" s="32" t="s">
        <v>6</v>
      </c>
      <c r="F12" s="36">
        <v>228731</v>
      </c>
      <c r="G12" s="36">
        <v>161077</v>
      </c>
      <c r="H12" s="36">
        <v>259509</v>
      </c>
      <c r="I12" s="36">
        <v>230148</v>
      </c>
      <c r="J12" s="36">
        <v>215086</v>
      </c>
      <c r="K12" s="36">
        <v>131619</v>
      </c>
      <c r="L12" s="36">
        <v>188437</v>
      </c>
      <c r="M12" s="36">
        <v>277410</v>
      </c>
      <c r="N12" s="36">
        <v>271630</v>
      </c>
    </row>
    <row r="13" spans="1:14" x14ac:dyDescent="0.25">
      <c r="A13" s="34" t="s">
        <v>11</v>
      </c>
      <c r="B13" s="4" t="s">
        <v>8</v>
      </c>
      <c r="C13" s="5">
        <v>101455</v>
      </c>
      <c r="E13" s="32" t="s">
        <v>7</v>
      </c>
      <c r="F13" s="36">
        <v>248795</v>
      </c>
      <c r="G13" s="36">
        <v>196611</v>
      </c>
      <c r="H13" s="36">
        <v>121197</v>
      </c>
      <c r="I13" s="36">
        <v>252444</v>
      </c>
      <c r="J13" s="36">
        <v>262616</v>
      </c>
      <c r="K13" s="36">
        <v>210973</v>
      </c>
      <c r="L13" s="36">
        <v>272245</v>
      </c>
      <c r="M13" s="36">
        <v>189409</v>
      </c>
      <c r="N13" s="36">
        <v>138764</v>
      </c>
    </row>
    <row r="14" spans="1:14" x14ac:dyDescent="0.25">
      <c r="A14" s="34" t="s">
        <v>11</v>
      </c>
      <c r="B14" s="4" t="s">
        <v>9</v>
      </c>
      <c r="C14" s="5">
        <v>111988</v>
      </c>
      <c r="E14" s="37" t="s">
        <v>34</v>
      </c>
      <c r="F14" s="38">
        <v>477526</v>
      </c>
      <c r="G14" s="38">
        <v>357688</v>
      </c>
      <c r="H14" s="38">
        <v>380706</v>
      </c>
      <c r="I14" s="38">
        <v>482592</v>
      </c>
      <c r="J14" s="38">
        <v>477702</v>
      </c>
      <c r="K14" s="38">
        <v>342592</v>
      </c>
      <c r="L14" s="38">
        <v>460682</v>
      </c>
      <c r="M14" s="38">
        <v>466819</v>
      </c>
      <c r="N14" s="38">
        <v>410394</v>
      </c>
    </row>
    <row r="15" spans="1:14" x14ac:dyDescent="0.25">
      <c r="A15" s="34" t="s">
        <v>11</v>
      </c>
      <c r="B15" s="4" t="s">
        <v>10</v>
      </c>
      <c r="C15" s="5">
        <v>236659</v>
      </c>
      <c r="E15" s="32" t="s">
        <v>8</v>
      </c>
      <c r="F15" s="36">
        <v>210333</v>
      </c>
      <c r="G15" s="36">
        <v>101455</v>
      </c>
      <c r="H15" s="36">
        <v>286555</v>
      </c>
      <c r="I15" s="36">
        <v>261802</v>
      </c>
      <c r="J15" s="36">
        <v>132959</v>
      </c>
      <c r="K15" s="36">
        <v>258676</v>
      </c>
      <c r="L15" s="36">
        <v>152197</v>
      </c>
      <c r="M15" s="36">
        <v>288554</v>
      </c>
      <c r="N15" s="36">
        <v>266559</v>
      </c>
    </row>
    <row r="16" spans="1:14" x14ac:dyDescent="0.25">
      <c r="A16" s="34" t="s">
        <v>12</v>
      </c>
      <c r="B16" s="4" t="s">
        <v>4</v>
      </c>
      <c r="C16" s="5">
        <v>235916</v>
      </c>
      <c r="E16" s="32" t="s">
        <v>9</v>
      </c>
      <c r="F16" s="36">
        <v>159664</v>
      </c>
      <c r="G16" s="36">
        <v>111988</v>
      </c>
      <c r="H16" s="36">
        <v>213840</v>
      </c>
      <c r="I16" s="36">
        <v>144987</v>
      </c>
      <c r="J16" s="36">
        <v>102139</v>
      </c>
      <c r="K16" s="36">
        <v>122294</v>
      </c>
      <c r="L16" s="36">
        <v>251885</v>
      </c>
      <c r="M16" s="36">
        <v>131570</v>
      </c>
      <c r="N16" s="36">
        <v>185452</v>
      </c>
    </row>
    <row r="17" spans="1:14" x14ac:dyDescent="0.25">
      <c r="A17" s="34" t="s">
        <v>12</v>
      </c>
      <c r="B17" s="4" t="s">
        <v>5</v>
      </c>
      <c r="C17" s="5">
        <v>197093</v>
      </c>
      <c r="E17" s="32" t="s">
        <v>10</v>
      </c>
      <c r="F17" s="36">
        <v>155217</v>
      </c>
      <c r="G17" s="36">
        <v>236659</v>
      </c>
      <c r="H17" s="36">
        <v>191565</v>
      </c>
      <c r="I17" s="36">
        <v>291194</v>
      </c>
      <c r="J17" s="36">
        <v>243803</v>
      </c>
      <c r="K17" s="36">
        <v>101405</v>
      </c>
      <c r="L17" s="36">
        <v>180434</v>
      </c>
      <c r="M17" s="36">
        <v>242377</v>
      </c>
      <c r="N17" s="36">
        <v>240632</v>
      </c>
    </row>
    <row r="18" spans="1:14" x14ac:dyDescent="0.25">
      <c r="A18" s="34" t="s">
        <v>12</v>
      </c>
      <c r="B18" s="4" t="s">
        <v>6</v>
      </c>
      <c r="C18" s="5">
        <v>259509</v>
      </c>
      <c r="E18" s="41" t="s">
        <v>35</v>
      </c>
      <c r="F18" s="42">
        <v>525214</v>
      </c>
      <c r="G18" s="42">
        <v>450102</v>
      </c>
      <c r="H18" s="42">
        <v>691960</v>
      </c>
      <c r="I18" s="42">
        <v>697983</v>
      </c>
      <c r="J18" s="42">
        <v>478901</v>
      </c>
      <c r="K18" s="42">
        <v>482375</v>
      </c>
      <c r="L18" s="42">
        <v>584516</v>
      </c>
      <c r="M18" s="42">
        <v>662501</v>
      </c>
      <c r="N18" s="42">
        <v>692643</v>
      </c>
    </row>
    <row r="19" spans="1:14" x14ac:dyDescent="0.25">
      <c r="A19" s="34" t="s">
        <v>12</v>
      </c>
      <c r="B19" s="4" t="s">
        <v>7</v>
      </c>
      <c r="C19" s="5">
        <v>121197</v>
      </c>
      <c r="E19" s="39" t="s">
        <v>36</v>
      </c>
      <c r="F19" s="40">
        <v>1395702</v>
      </c>
      <c r="G19" s="40">
        <v>1145363</v>
      </c>
      <c r="H19" s="40">
        <v>1505675</v>
      </c>
      <c r="I19" s="40">
        <v>1571911</v>
      </c>
      <c r="J19" s="40">
        <v>1418148</v>
      </c>
      <c r="K19" s="40">
        <v>1314828</v>
      </c>
      <c r="L19" s="40">
        <v>1359136</v>
      </c>
      <c r="M19" s="40">
        <v>1495449</v>
      </c>
      <c r="N19" s="40">
        <v>1475952</v>
      </c>
    </row>
    <row r="20" spans="1:14" x14ac:dyDescent="0.25">
      <c r="A20" s="34" t="s">
        <v>12</v>
      </c>
      <c r="B20" s="4" t="s">
        <v>8</v>
      </c>
      <c r="C20" s="5">
        <v>286555</v>
      </c>
    </row>
    <row r="21" spans="1:14" x14ac:dyDescent="0.25">
      <c r="A21" s="34" t="s">
        <v>12</v>
      </c>
      <c r="B21" s="4" t="s">
        <v>9</v>
      </c>
      <c r="C21" s="5">
        <v>213840</v>
      </c>
    </row>
    <row r="22" spans="1:14" x14ac:dyDescent="0.25">
      <c r="A22" s="34" t="s">
        <v>12</v>
      </c>
      <c r="B22" s="4" t="s">
        <v>10</v>
      </c>
      <c r="C22" s="5">
        <v>191565</v>
      </c>
    </row>
    <row r="23" spans="1:14" x14ac:dyDescent="0.25">
      <c r="A23" s="34" t="s">
        <v>13</v>
      </c>
      <c r="B23" s="4" t="s">
        <v>4</v>
      </c>
      <c r="C23" s="5">
        <v>119561</v>
      </c>
    </row>
    <row r="24" spans="1:14" x14ac:dyDescent="0.25">
      <c r="A24" s="34" t="s">
        <v>13</v>
      </c>
      <c r="B24" s="4" t="s">
        <v>5</v>
      </c>
      <c r="C24" s="5">
        <v>271775</v>
      </c>
    </row>
    <row r="25" spans="1:14" x14ac:dyDescent="0.25">
      <c r="A25" s="34" t="s">
        <v>13</v>
      </c>
      <c r="B25" s="4" t="s">
        <v>6</v>
      </c>
      <c r="C25" s="5">
        <v>230148</v>
      </c>
    </row>
    <row r="26" spans="1:14" x14ac:dyDescent="0.25">
      <c r="A26" s="34" t="s">
        <v>13</v>
      </c>
      <c r="B26" s="4" t="s">
        <v>7</v>
      </c>
      <c r="C26" s="5">
        <v>252444</v>
      </c>
    </row>
    <row r="27" spans="1:14" x14ac:dyDescent="0.25">
      <c r="A27" s="34" t="s">
        <v>13</v>
      </c>
      <c r="B27" s="4" t="s">
        <v>8</v>
      </c>
      <c r="C27" s="5">
        <v>261802</v>
      </c>
    </row>
    <row r="28" spans="1:14" x14ac:dyDescent="0.25">
      <c r="A28" s="34" t="s">
        <v>13</v>
      </c>
      <c r="B28" s="4" t="s">
        <v>9</v>
      </c>
      <c r="C28" s="5">
        <v>144987</v>
      </c>
    </row>
    <row r="29" spans="1:14" x14ac:dyDescent="0.25">
      <c r="A29" s="34" t="s">
        <v>13</v>
      </c>
      <c r="B29" s="4" t="s">
        <v>10</v>
      </c>
      <c r="C29" s="5">
        <v>291194</v>
      </c>
    </row>
    <row r="30" spans="1:14" x14ac:dyDescent="0.25">
      <c r="A30" s="34" t="s">
        <v>14</v>
      </c>
      <c r="B30" s="4" t="s">
        <v>4</v>
      </c>
      <c r="C30" s="5">
        <v>192418</v>
      </c>
    </row>
    <row r="31" spans="1:14" x14ac:dyDescent="0.25">
      <c r="A31" s="34" t="s">
        <v>14</v>
      </c>
      <c r="B31" s="4" t="s">
        <v>5</v>
      </c>
      <c r="C31" s="5">
        <v>269127</v>
      </c>
    </row>
    <row r="32" spans="1:14" x14ac:dyDescent="0.25">
      <c r="A32" s="34" t="s">
        <v>14</v>
      </c>
      <c r="B32" s="4" t="s">
        <v>6</v>
      </c>
      <c r="C32" s="5">
        <v>215086</v>
      </c>
    </row>
    <row r="33" spans="1:3" x14ac:dyDescent="0.25">
      <c r="A33" s="34" t="s">
        <v>14</v>
      </c>
      <c r="B33" s="4" t="s">
        <v>7</v>
      </c>
      <c r="C33" s="5">
        <v>262616</v>
      </c>
    </row>
    <row r="34" spans="1:3" x14ac:dyDescent="0.25">
      <c r="A34" s="34" t="s">
        <v>14</v>
      </c>
      <c r="B34" s="4" t="s">
        <v>8</v>
      </c>
      <c r="C34" s="5">
        <v>132959</v>
      </c>
    </row>
    <row r="35" spans="1:3" x14ac:dyDescent="0.25">
      <c r="A35" s="34" t="s">
        <v>14</v>
      </c>
      <c r="B35" s="4" t="s">
        <v>9</v>
      </c>
      <c r="C35" s="5">
        <v>102139</v>
      </c>
    </row>
    <row r="36" spans="1:3" x14ac:dyDescent="0.25">
      <c r="A36" s="34" t="s">
        <v>14</v>
      </c>
      <c r="B36" s="4" t="s">
        <v>10</v>
      </c>
      <c r="C36" s="5">
        <v>243803</v>
      </c>
    </row>
    <row r="37" spans="1:3" x14ac:dyDescent="0.25">
      <c r="A37" s="34" t="s">
        <v>15</v>
      </c>
      <c r="B37" s="4" t="s">
        <v>4</v>
      </c>
      <c r="C37" s="5">
        <v>258760</v>
      </c>
    </row>
    <row r="38" spans="1:3" x14ac:dyDescent="0.25">
      <c r="A38" s="34" t="s">
        <v>15</v>
      </c>
      <c r="B38" s="4" t="s">
        <v>5</v>
      </c>
      <c r="C38" s="5">
        <v>231101</v>
      </c>
    </row>
    <row r="39" spans="1:3" x14ac:dyDescent="0.25">
      <c r="A39" s="34" t="s">
        <v>15</v>
      </c>
      <c r="B39" s="4" t="s">
        <v>6</v>
      </c>
      <c r="C39" s="5">
        <v>131619</v>
      </c>
    </row>
    <row r="40" spans="1:3" x14ac:dyDescent="0.25">
      <c r="A40" s="34" t="s">
        <v>15</v>
      </c>
      <c r="B40" s="4" t="s">
        <v>7</v>
      </c>
      <c r="C40" s="5">
        <v>210973</v>
      </c>
    </row>
    <row r="41" spans="1:3" x14ac:dyDescent="0.25">
      <c r="A41" s="34" t="s">
        <v>15</v>
      </c>
      <c r="B41" s="4" t="s">
        <v>8</v>
      </c>
      <c r="C41" s="5">
        <v>258676</v>
      </c>
    </row>
    <row r="42" spans="1:3" x14ac:dyDescent="0.25">
      <c r="A42" s="34" t="s">
        <v>15</v>
      </c>
      <c r="B42" s="4" t="s">
        <v>9</v>
      </c>
      <c r="C42" s="5">
        <v>122294</v>
      </c>
    </row>
    <row r="43" spans="1:3" x14ac:dyDescent="0.25">
      <c r="A43" s="34" t="s">
        <v>15</v>
      </c>
      <c r="B43" s="4" t="s">
        <v>10</v>
      </c>
      <c r="C43" s="5">
        <v>101405</v>
      </c>
    </row>
    <row r="44" spans="1:3" x14ac:dyDescent="0.25">
      <c r="A44" s="34" t="s">
        <v>16</v>
      </c>
      <c r="B44" s="4" t="s">
        <v>4</v>
      </c>
      <c r="C44" s="5">
        <v>211158</v>
      </c>
    </row>
    <row r="45" spans="1:3" x14ac:dyDescent="0.25">
      <c r="A45" s="34" t="s">
        <v>16</v>
      </c>
      <c r="B45" s="4" t="s">
        <v>5</v>
      </c>
      <c r="C45" s="5">
        <v>102780</v>
      </c>
    </row>
    <row r="46" spans="1:3" x14ac:dyDescent="0.25">
      <c r="A46" s="34" t="s">
        <v>16</v>
      </c>
      <c r="B46" s="4" t="s">
        <v>6</v>
      </c>
      <c r="C46" s="5">
        <v>188437</v>
      </c>
    </row>
    <row r="47" spans="1:3" x14ac:dyDescent="0.25">
      <c r="A47" s="34" t="s">
        <v>16</v>
      </c>
      <c r="B47" s="4" t="s">
        <v>7</v>
      </c>
      <c r="C47" s="5">
        <v>272245</v>
      </c>
    </row>
    <row r="48" spans="1:3" x14ac:dyDescent="0.25">
      <c r="A48" s="34" t="s">
        <v>16</v>
      </c>
      <c r="B48" s="4" t="s">
        <v>8</v>
      </c>
      <c r="C48" s="5">
        <v>152197</v>
      </c>
    </row>
    <row r="49" spans="1:3" x14ac:dyDescent="0.25">
      <c r="A49" s="34" t="s">
        <v>16</v>
      </c>
      <c r="B49" s="4" t="s">
        <v>9</v>
      </c>
      <c r="C49" s="5">
        <v>251885</v>
      </c>
    </row>
    <row r="50" spans="1:3" x14ac:dyDescent="0.25">
      <c r="A50" s="34" t="s">
        <v>16</v>
      </c>
      <c r="B50" s="4" t="s">
        <v>10</v>
      </c>
      <c r="C50" s="5">
        <v>180434</v>
      </c>
    </row>
    <row r="51" spans="1:3" x14ac:dyDescent="0.25">
      <c r="A51" s="34" t="s">
        <v>17</v>
      </c>
      <c r="B51" s="4" t="s">
        <v>4</v>
      </c>
      <c r="C51" s="5">
        <v>264723</v>
      </c>
    </row>
    <row r="52" spans="1:3" x14ac:dyDescent="0.25">
      <c r="A52" s="34" t="s">
        <v>17</v>
      </c>
      <c r="B52" s="4" t="s">
        <v>5</v>
      </c>
      <c r="C52" s="5">
        <v>101406</v>
      </c>
    </row>
    <row r="53" spans="1:3" x14ac:dyDescent="0.25">
      <c r="A53" s="34" t="s">
        <v>17</v>
      </c>
      <c r="B53" s="4" t="s">
        <v>6</v>
      </c>
      <c r="C53" s="5">
        <v>277410</v>
      </c>
    </row>
    <row r="54" spans="1:3" x14ac:dyDescent="0.25">
      <c r="A54" s="34" t="s">
        <v>17</v>
      </c>
      <c r="B54" s="4" t="s">
        <v>7</v>
      </c>
      <c r="C54" s="5">
        <v>189409</v>
      </c>
    </row>
    <row r="55" spans="1:3" x14ac:dyDescent="0.25">
      <c r="A55" s="34" t="s">
        <v>17</v>
      </c>
      <c r="B55" s="4" t="s">
        <v>8</v>
      </c>
      <c r="C55" s="5">
        <v>288554</v>
      </c>
    </row>
    <row r="56" spans="1:3" x14ac:dyDescent="0.25">
      <c r="A56" s="34" t="s">
        <v>17</v>
      </c>
      <c r="B56" s="4" t="s">
        <v>9</v>
      </c>
      <c r="C56" s="5">
        <v>131570</v>
      </c>
    </row>
    <row r="57" spans="1:3" x14ac:dyDescent="0.25">
      <c r="A57" s="34" t="s">
        <v>17</v>
      </c>
      <c r="B57" s="4" t="s">
        <v>10</v>
      </c>
      <c r="C57" s="5">
        <v>242377</v>
      </c>
    </row>
    <row r="58" spans="1:3" x14ac:dyDescent="0.25">
      <c r="A58" s="34" t="s">
        <v>18</v>
      </c>
      <c r="B58" s="4" t="s">
        <v>4</v>
      </c>
      <c r="C58" s="5">
        <v>210645</v>
      </c>
    </row>
    <row r="59" spans="1:3" x14ac:dyDescent="0.25">
      <c r="A59" s="34" t="s">
        <v>18</v>
      </c>
      <c r="B59" s="4" t="s">
        <v>5</v>
      </c>
      <c r="C59" s="5">
        <v>162270</v>
      </c>
    </row>
    <row r="60" spans="1:3" x14ac:dyDescent="0.25">
      <c r="A60" s="34" t="s">
        <v>18</v>
      </c>
      <c r="B60" s="4" t="s">
        <v>6</v>
      </c>
      <c r="C60" s="5">
        <v>271630</v>
      </c>
    </row>
    <row r="61" spans="1:3" x14ac:dyDescent="0.25">
      <c r="A61" s="34" t="s">
        <v>18</v>
      </c>
      <c r="B61" s="4" t="s">
        <v>7</v>
      </c>
      <c r="C61" s="5">
        <v>138764</v>
      </c>
    </row>
    <row r="62" spans="1:3" x14ac:dyDescent="0.25">
      <c r="A62" s="34" t="s">
        <v>18</v>
      </c>
      <c r="B62" s="4" t="s">
        <v>8</v>
      </c>
      <c r="C62" s="5">
        <v>266559</v>
      </c>
    </row>
    <row r="63" spans="1:3" x14ac:dyDescent="0.25">
      <c r="A63" s="34" t="s">
        <v>18</v>
      </c>
      <c r="B63" s="4" t="s">
        <v>9</v>
      </c>
      <c r="C63" s="5">
        <v>185452</v>
      </c>
    </row>
    <row r="64" spans="1:3" x14ac:dyDescent="0.25">
      <c r="A64" s="35" t="s">
        <v>18</v>
      </c>
      <c r="B64" s="6" t="s">
        <v>10</v>
      </c>
      <c r="C64" s="7">
        <v>240632</v>
      </c>
    </row>
  </sheetData>
  <pageMargins left="0.511811024" right="0.511811024" top="0.78740157499999996" bottom="0.78740157499999996" header="0.31496062000000002" footer="0.31496062000000002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5385C-617C-47EF-B3E9-16920ED74D9C}">
  <dimension ref="B3:I11"/>
  <sheetViews>
    <sheetView tabSelected="1" workbookViewId="0">
      <selection activeCell="H12" sqref="H12"/>
    </sheetView>
  </sheetViews>
  <sheetFormatPr defaultRowHeight="15" x14ac:dyDescent="0.25"/>
  <cols>
    <col min="2" max="2" width="25.140625" customWidth="1"/>
    <col min="3" max="6" width="12.7109375" bestFit="1" customWidth="1"/>
    <col min="9" max="9" width="22.42578125" customWidth="1"/>
  </cols>
  <sheetData>
    <row r="3" spans="2:9" ht="45.75" thickBot="1" x14ac:dyDescent="0.3">
      <c r="B3" s="8" t="s">
        <v>19</v>
      </c>
      <c r="C3" s="23" t="s">
        <v>3</v>
      </c>
      <c r="D3" s="23" t="s">
        <v>11</v>
      </c>
      <c r="E3" s="23" t="s">
        <v>12</v>
      </c>
      <c r="F3" s="24" t="s">
        <v>13</v>
      </c>
      <c r="G3" s="9"/>
    </row>
    <row r="4" spans="2:9" x14ac:dyDescent="0.25">
      <c r="B4" s="25" t="s">
        <v>20</v>
      </c>
      <c r="C4" s="10">
        <v>89900</v>
      </c>
      <c r="D4" s="10">
        <v>90619.199999999997</v>
      </c>
      <c r="E4" s="11">
        <v>90799</v>
      </c>
      <c r="F4" s="11">
        <v>107880</v>
      </c>
      <c r="H4" s="12" t="s">
        <v>21</v>
      </c>
      <c r="I4" s="13"/>
    </row>
    <row r="5" spans="2:9" ht="15.75" thickBot="1" x14ac:dyDescent="0.3">
      <c r="B5" s="26" t="s">
        <v>22</v>
      </c>
      <c r="C5" s="14">
        <v>99000</v>
      </c>
      <c r="D5" s="14">
        <v>99792</v>
      </c>
      <c r="E5" s="15">
        <v>99990</v>
      </c>
      <c r="F5" s="15">
        <v>118800</v>
      </c>
      <c r="H5" s="16" t="s">
        <v>23</v>
      </c>
      <c r="I5" s="17"/>
    </row>
    <row r="6" spans="2:9" ht="15.75" thickBot="1" x14ac:dyDescent="0.3">
      <c r="B6" s="26" t="s">
        <v>24</v>
      </c>
      <c r="C6" s="14">
        <v>221000</v>
      </c>
      <c r="D6" s="14">
        <v>222768</v>
      </c>
      <c r="E6" s="15">
        <v>223210</v>
      </c>
      <c r="F6" s="15">
        <v>265200</v>
      </c>
      <c r="H6" s="18"/>
    </row>
    <row r="7" spans="2:9" ht="15.75" thickBot="1" x14ac:dyDescent="0.3">
      <c r="B7" s="26" t="s">
        <v>25</v>
      </c>
      <c r="C7" s="14">
        <v>165000</v>
      </c>
      <c r="D7" s="14">
        <v>166320</v>
      </c>
      <c r="E7" s="15">
        <v>166650</v>
      </c>
      <c r="F7" s="15">
        <v>198000</v>
      </c>
      <c r="H7" s="19" t="s">
        <v>26</v>
      </c>
      <c r="I7" s="20" t="str">
        <f t="array" ref="I7">IF(I4:I5="","",INDEX(B3:F11,MATCH(I4,B3:B11,0),MATCH(I5,B3:F3,0)))</f>
        <v/>
      </c>
    </row>
    <row r="8" spans="2:9" x14ac:dyDescent="0.25">
      <c r="B8" s="26" t="s">
        <v>27</v>
      </c>
      <c r="C8" s="14">
        <v>120000</v>
      </c>
      <c r="D8" s="14">
        <v>120960</v>
      </c>
      <c r="E8" s="15">
        <v>121200</v>
      </c>
      <c r="F8" s="15">
        <v>144000</v>
      </c>
    </row>
    <row r="9" spans="2:9" x14ac:dyDescent="0.25">
      <c r="B9" s="26" t="s">
        <v>28</v>
      </c>
      <c r="C9" s="14">
        <v>170000</v>
      </c>
      <c r="D9" s="14">
        <v>171360</v>
      </c>
      <c r="E9" s="15">
        <v>171700</v>
      </c>
      <c r="F9" s="15">
        <v>204000</v>
      </c>
    </row>
    <row r="10" spans="2:9" x14ac:dyDescent="0.25">
      <c r="B10" s="27" t="s">
        <v>29</v>
      </c>
      <c r="C10" s="21">
        <v>46000</v>
      </c>
      <c r="D10" s="21">
        <v>46368</v>
      </c>
      <c r="E10" s="22">
        <v>46460</v>
      </c>
      <c r="F10" s="22">
        <v>55200</v>
      </c>
    </row>
    <row r="11" spans="2:9" x14ac:dyDescent="0.25">
      <c r="B11" s="28" t="s">
        <v>30</v>
      </c>
      <c r="C11" s="29">
        <v>658740</v>
      </c>
      <c r="D11" s="29">
        <v>664009.92000000004</v>
      </c>
      <c r="E11" s="30">
        <v>665327.4</v>
      </c>
      <c r="F11" s="30">
        <v>790488</v>
      </c>
    </row>
  </sheetData>
  <conditionalFormatting sqref="B4:B11">
    <cfRule type="expression" dxfId="24" priority="6">
      <formula>$B4=$I$5</formula>
    </cfRule>
    <cfRule type="cellIs" dxfId="23" priority="3" operator="equal">
      <formula>$I$4</formula>
    </cfRule>
  </conditionalFormatting>
  <conditionalFormatting sqref="C3:F3">
    <cfRule type="cellIs" dxfId="22" priority="2" operator="equal">
      <formula>$I$5</formula>
    </cfRule>
  </conditionalFormatting>
  <conditionalFormatting sqref="C4:F11">
    <cfRule type="expression" dxfId="21" priority="4">
      <formula>C4=$I$8</formula>
    </cfRule>
    <cfRule type="cellIs" dxfId="20" priority="1" operator="equal">
      <formula>$I$7</formula>
    </cfRule>
  </conditionalFormatting>
  <dataValidations count="2">
    <dataValidation type="list" allowBlank="1" showInputMessage="1" showErrorMessage="1" promptTitle="Área" sqref="I4" xr:uid="{3B4FD332-612A-4F00-843C-0D0B684B5E73}">
      <formula1>$B$4:$B$11</formula1>
    </dataValidation>
    <dataValidation type="list" allowBlank="1" showInputMessage="1" showErrorMessage="1" sqref="I5" xr:uid="{85920AC9-43DB-440B-A9B2-5E901CD5188E}">
      <formula1>$C$3:$F$3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Exemplo 1</vt:lpstr>
      <vt:lpstr>Exemplo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</dc:creator>
  <cp:lastModifiedBy>Fabia</cp:lastModifiedBy>
  <dcterms:created xsi:type="dcterms:W3CDTF">2018-11-08T23:47:31Z</dcterms:created>
  <dcterms:modified xsi:type="dcterms:W3CDTF">2018-11-09T02:21:58Z</dcterms:modified>
</cp:coreProperties>
</file>